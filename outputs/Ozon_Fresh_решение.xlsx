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20a41b5b8b4b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тветы" sheetId="1" r:id="R0724bc62b69f4e96"/>
    <x:sheet xmlns:r="http://schemas.openxmlformats.org/officeDocument/2006/relationships" name="Доставка" sheetId="2" r:id="Ra1a4a819454f4bc1"/>
    <x:sheet xmlns:r="http://schemas.openxmlformats.org/officeDocument/2006/relationships" name="Категории" sheetId="3" r:id="R8308777d29b044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"/>
    <x:numFmt numFmtId="202" formatCode="0.0000"/>
    <x:numFmt numFmtId="203" formatCode="0.0000%"/>
    <x:numFmt numFmtId="204" formatCode="0.0%"/>
  </x:numFmts>
  <x:fonts count="5">
    <x:font>
      <x:sz val="11"/>
      <x:name val="Carlito"/>
    </x:font>
    <x:font>
      <x:sz val="11"/>
      <x:color rgb="FF202C3D"/>
      <x:name val="Arial"/>
    </x:font>
    <x:font>
      <x:b/>
      <x:sz val="15"/>
      <x:color rgb="FF224E9A"/>
      <x:name val="Arial"/>
    </x:font>
    <x:font>
      <x:b/>
      <x:sz val="11"/>
      <x:color rgb="FFFFFFFF"/>
      <x:name val="Arial"/>
    </x:font>
    <x:font>
      <x:b/>
      <x:sz val="11"/>
      <x:color rgb="FF202C3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24E9A"/>
      </x:patternFill>
    </x:fill>
    <x:fill>
      <x:patternFill patternType="solid">
        <x:fgColor rgb="FFEAF0F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224E9A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4" fillId="0" borderId="0" xfId="0" applyNumberFormat="1" applyFont="1" applyFill="1" applyBorder="1"/>
    <x:xf numFmtId="204" fontId="1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3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c9f508e8aa4413" /><Relationship Type="http://schemas.openxmlformats.org/officeDocument/2006/relationships/theme" Target="/xl/theme/theme1.xml" Id="Rd7b421b871cf4566" /><Relationship Type="http://schemas.openxmlformats.org/officeDocument/2006/relationships/sharedStrings" Target="/xl/sharedStrings.xml" Id="R38ccfad4a2274f12" /><Relationship Type="http://schemas.openxmlformats.org/officeDocument/2006/relationships/worksheet" Target="/xl/worksheets/sheet1.xml" Id="R0724bc62b69f4e96" /><Relationship Type="http://schemas.openxmlformats.org/officeDocument/2006/relationships/worksheet" Target="/xl/worksheets/sheet2.xml" Id="Ra1a4a819454f4bc1" /><Relationship Type="http://schemas.openxmlformats.org/officeDocument/2006/relationships/worksheet" Target="/xl/worksheets/sheet3.xml" Id="R8308777d29b0447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ed3ae4e4df74fe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Распределение срока доставки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Заказов</c:v>
          </c:tx>
          <c:spPr>
            <a:solidFill xmlns:a="http://schemas.openxmlformats.org/drawingml/2006/main">
              <a:srgbClr val="224E9A"/>
            </a:solidFill>
          </c:spPr>
          <c:invertIfNegative val="0"/>
          <c:cat>
            <c:strRef>
              <c:f>'Доставка'!$A$19:$A$25</c:f>
              <c:strCache>
                <c:ptCount val="0"/>
              </c:strCache>
            </c:strRef>
          </c:cat>
          <c:val>
            <c:numRef>
              <c:f>'Доставка'!$B$19:$B$25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d3ae4e4df74fe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e7c50f73ffa4a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9" hidden="0" customWidth="1"/>
    <x:col min="2" max="2" width="24" hidden="0" customWidth="1"/>
    <x:col min="3" max="3" width="19" hidden="0" customWidth="1"/>
    <x:col min="4" max="4" width="65" hidden="0" customWidth="1"/>
  </x:cols>
  <x:sheetData>
    <x:row r="1" ht="24" customHeight="1">
      <x:c r="A1" s="1"/>
      <x:c r="B1" s="1"/>
      <x:c r="C1" s="1"/>
      <x:c r="D1" s="1"/>
    </x:row>
    <x:row r="2" ht="24" customHeight="1">
      <x:c r="A2" s="2" t="str">
        <x:v>Ozon Fresh · ответы по заказам 2017 года</x:v>
      </x:c>
      <x:c r="B2" s="1"/>
      <x:c r="C2" s="1"/>
      <x:c r="D2" s="1"/>
    </x:row>
    <x:row r="3" ht="24" customHeight="1">
      <x:c r="A3" s="3"/>
      <x:c r="B3" s="3"/>
      <x:c r="C3" s="3"/>
      <x:c r="D3" s="3"/>
    </x:row>
    <x:row r="4" ht="24" customHeight="1">
      <x:c r="A4" s="1"/>
      <x:c r="B4" s="1"/>
      <x:c r="C4" s="1"/>
      <x:c r="D4" s="1"/>
    </x:row>
    <x:row r="5" ht="30" customHeight="1">
      <x:c r="A5" s="5" t="str">
        <x:v>Показатель</x:v>
      </x:c>
      <x:c r="B5" s="5" t="str">
        <x:v>Результат</x:v>
      </x:c>
      <x:c r="C5" s="5" t="str">
        <x:v>Единица</x:v>
      </x:c>
      <x:c r="D5" s="5" t="str">
        <x:v>Определение</x:v>
      </x:c>
    </x:row>
    <x:row r="6" ht="24" customHeight="1">
      <x:c r="A6" s="1" t="str">
        <x:v>Всего заказов</x:v>
      </x:c>
      <x:c r="B6" s="6" t="n">
        <x:v>45101</x:v>
      </x:c>
      <x:c r="C6" s="1" t="str">
        <x:v>заказ</x:v>
      </x:c>
      <x:c r="D6" s="1" t="str">
        <x:v>Все записи orders, включая заказы без позиций</x:v>
      </x:c>
    </x:row>
    <x:row r="7" ht="24" customHeight="1">
      <x:c r="A7" s="1" t="str">
        <x:v>Клиенты в июле</x:v>
      </x:c>
      <x:c r="B7" s="6" t="n">
        <x:v>3947</x:v>
      </x:c>
      <x:c r="C7" s="1" t="str">
        <x:v>customer_id</x:v>
      </x:c>
      <x:c r="D7" s="1" t="str">
        <x:v>Различные customer_id; 01.07 ≤ дата покупки &lt; 01.08</x:v>
      </x:c>
    </x:row>
    <x:row r="8" ht="24" customHeight="1">
      <x:c r="A8" s="1" t="str">
        <x:v>Средняя доставка</x:v>
      </x:c>
      <x:c r="B8" s="7" t="n">
        <x:f>'Доставка'!B6</x:f>
        <x:v>12.97904481186386</x:v>
      </x:c>
      <x:c r="C8" s="1" t="str">
        <x:v>дней</x:v>
      </x:c>
      <x:c r="D8" s="1" t="str">
        <x:v>Только заказы с известной датой получения</x:v>
      </x:c>
    </x:row>
    <x:row r="9" ht="24" customHeight="1">
      <x:c r="A9" s="1" t="str">
        <x:v>Медианная доставка</x:v>
      </x:c>
      <x:c r="B9" s="7" t="n">
        <x:f>'Доставка'!B7</x:f>
        <x:v>11</x:v>
      </x:c>
      <x:c r="C9" s="1" t="str">
        <x:v>дней</x:v>
      </x:c>
      <x:c r="D9" s="1" t="str">
        <x:v>Медиана по наблюдаемым доставкам</x:v>
      </x:c>
    </x:row>
    <x:row r="10" ht="24" customHeight="1">
      <x:c r="A10" s="1" t="str">
        <x:v>Уникальные SKU во II квартале</x:v>
      </x:c>
      <x:c r="B10" s="6" t="n">
        <x:v>4762</x:v>
      </x:c>
      <x:c r="C10" s="1" t="str">
        <x:v>SKU</x:v>
      </x:c>
      <x:c r="D10" s="1" t="str">
        <x:v>01.04 ≤ дата покупки &lt; 01.07</x:v>
      </x:c>
    </x:row>
    <x:row r="11" ht="24" customHeight="1">
      <x:c r="A11" s="1" t="str">
        <x:v>Средняя цена единицы во II квартале</x:v>
      </x:c>
      <x:c r="B11" s="8" t="n">
        <x:v>124.87138037104681</x:v>
      </x:c>
      <x:c r="C11" s="1" t="str">
        <x:v>ден. ед.</x:v>
      </x:c>
      <x:c r="D11" s="1" t="str">
        <x:v>По 10 403 товарным единицам; валюта не задана</x:v>
      </x:c>
    </x:row>
    <x:row r="12" ht="24" customHeight="1">
      <x:c r="A12" s="1" t="str">
        <x:v>Седьмая категория по числу заказов</x:v>
      </x:c>
      <x:c r="B12" s="6" t="str">
        <x:v>toys</x:v>
      </x:c>
      <x:c r="C12" s="1" t="str">
        <x:v>категория</x:v>
      </x:c>
      <x:c r="D12" s="1" t="str">
        <x:v>DENSE_RANK по уникальным заказам</x:v>
      </x:c>
    </x:row>
    <x:row r="13" ht="24" customHeight="1">
      <x:c r="A13" s="1" t="str">
        <x:v>Заказы с toys</x:v>
      </x:c>
      <x:c r="B13" s="6" t="n">
        <x:f>'Категории'!B13</x:f>
        <x:v>2452</x:v>
      </x:c>
      <x:c r="C13" s="1" t="str">
        <x:v>заказ</x:v>
      </x:c>
      <x:c r="D13" s="1" t="str">
        <x:v>Категория считается один раз на заказ</x:v>
      </x:c>
    </x:row>
    <x:row r="14" ht="24" customHeight="1">
      <x:c r="A14" s="1" t="str">
        <x:v>Доля заказов с toys</x:v>
      </x:c>
      <x:c r="B14" s="9" t="n">
        <x:f>B13/B6</x:f>
        <x:v>0.05436686547970111</x:v>
      </x:c>
      <x:c r="C14" s="1" t="str">
        <x:v>доля</x:v>
      </x:c>
      <x:c r="D14" s="1" t="str">
        <x:v>Знаменатель — все заказы</x:v>
      </x:c>
    </x:row>
    <x:row r="15" ht="24" customHeight="1">
      <x:c r="A15" s="1" t="str">
        <x:v>bed_bath_table и/или computers_accessories</x:v>
      </x:c>
      <x:c r="B15" s="6" t="n">
        <x:v>7120</x:v>
      </x:c>
      <x:c r="C15" s="1" t="str">
        <x:v>заказ</x:v>
      </x:c>
      <x:c r="D15" s="1" t="str">
        <x:v>Объединение: 4 503 + 2 618 − 1</x:v>
      </x:c>
    </x:row>
    <x:row r="16" ht="24" customHeight="1">
      <x:c r="A16" s="1" t="str">
        <x:v>Доля объединения категорий</x:v>
      </x:c>
      <x:c r="B16" s="9" t="n">
        <x:f>B15/B6</x:f>
        <x:v>0.15786789649896898</x:v>
      </x:c>
      <x:c r="C16" s="1" t="str">
        <x:v>доля</x:v>
      </x:c>
      <x:c r="D16" s="1" t="str">
        <x:v>Хотя бы одна из двух категорий</x:v>
      </x:c>
    </x:row>
    <x:row r="17" ht="24" customHeight="1">
      <x:c r="A17" s="1" t="str">
        <x:v>Обе категории одновременно</x:v>
      </x:c>
      <x:c r="B17" s="6" t="n">
        <x:v>1</x:v>
      </x:c>
      <x:c r="C17" s="1" t="str">
        <x:v>заказ</x:v>
      </x:c>
      <x:c r="D17" s="1" t="str">
        <x:v>Пересечение множеств заказов</x:v>
      </x:c>
    </x:row>
    <x:row r="18" ht="24" customHeight="1">
      <x:c r="A18" s="1"/>
      <x:c r="B18" s="1"/>
      <x:c r="C18" s="1"/>
      <x:c r="D18" s="1"/>
    </x:row>
    <x:row r="19" ht="24" customHeight="1">
      <x:c r="A19" s="1"/>
      <x:c r="B19" s="1"/>
      <x:c r="C19" s="1"/>
      <x:c r="D19" s="1"/>
    </x:row>
    <x:row r="20" ht="24" customHeight="1">
      <x:c r="A20" s="10" t="str">
        <x:v>Ограничения и интерпретация</x:v>
      </x:c>
      <x:c r="B20" s="1"/>
      <x:c r="C20" s="1"/>
      <x:c r="D20" s="1"/>
    </x:row>
    <x:row r="21" ht="24" customHeight="1">
      <x:c r="A21" s="1" t="str">
        <x:v>522 заказа без позиций; 1 675 без даты получения.</x:v>
      </x:c>
      <x:c r="B21" s="1"/>
      <x:c r="C21" s="1"/>
      <x:c r="D21" s="1"/>
    </x:row>
    <x:row r="22" ht="24" customHeight="1">
      <x:c r="A22" s="1" t="str">
        <x:v>Среднее дополнять медианой, P90/P95 и долей пропусков.</x:v>
      </x:c>
      <x:c r="B22" s="1"/>
      <x:c r="C22" s="1"/>
      <x:c r="D22" s="1"/>
    </x:row>
    <x:row r="23" ht="24" customHeight="1">
      <x:c r="A23" s="1" t="str">
        <x:v>По графику двух групп причинный эффект не установлен.</x:v>
      </x:c>
      <x:c r="B23" s="1"/>
      <x:c r="C23" s="1"/>
      <x:c r="D23" s="1"/>
    </x:row>
    <x:row r="24" ht="24" customHeight="1">
      <x:c r="A24" s="1"/>
      <x:c r="B24" s="1"/>
      <x:c r="C24" s="1"/>
      <x:c r="D24" s="1"/>
    </x:row>
    <x:row r="25" ht="24" customHeight="1">
      <x:c r="A25" s="1" t="str">
        <x:v>SQL и подробные ответы на оба блока: docs/Решение.md</x:v>
      </x:c>
      <x:c r="B25" s="1"/>
      <x:c r="C25" s="1"/>
      <x:c r="D25" s="1"/>
    </x:row>
    <x:row r="26" ht="24" customHeight="1">
      <x:c r="A26" s="1" t="str">
        <x:v>Книга хранит снимок SQL-расчёта; подключения к CSV нет.</x:v>
      </x:c>
      <x:c r="B26" s="1"/>
      <x:c r="C26" s="1"/>
      <x:c r="D26" s="1"/>
    </x:row>
    <x:row r="27" ht="24" customHeight="1">
      <x:c r="A27" s="1"/>
      <x:c r="B27" s="1"/>
      <x:c r="C27" s="1"/>
      <x:c r="D27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5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4" customHeight="1">
      <x:c r="A2" s="2" t="str">
        <x:v>Доставка · календарные дни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4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0" customHeight="1">
      <x:c r="A5" s="5" t="str">
        <x:v>Статистика</x:v>
      </x:c>
      <x:c r="B5" s="5" t="str">
        <x:v>Дней / заказов</x:v>
      </x:c>
      <x:c r="C5" s="1"/>
      <x:c r="D5" s="1"/>
      <x:c r="E5" s="1"/>
      <x:c r="F5" s="1"/>
      <x:c r="G5" s="1"/>
      <x:c r="H5" s="1"/>
      <x:c r="I5" s="1"/>
      <x:c r="J5" s="1"/>
    </x:row>
    <x:row r="6" ht="24" customHeight="1">
      <x:c r="A6" s="1" t="str">
        <x:v>Среднее</x:v>
      </x:c>
      <x:c r="B6" s="7" t="n">
        <x:v>12.97904481186386</x:v>
      </x:c>
      <x:c r="C6" s="1"/>
      <x:c r="D6" s="1"/>
      <x:c r="E6" s="1"/>
      <x:c r="F6" s="1"/>
      <x:c r="G6" s="1"/>
      <x:c r="H6" s="1"/>
      <x:c r="I6" s="1"/>
      <x:c r="J6" s="1"/>
    </x:row>
    <x:row r="7" ht="24" customHeight="1">
      <x:c r="A7" s="1" t="str">
        <x:v>Медиана</x:v>
      </x:c>
      <x:c r="B7" s="7" t="n">
        <x:v>11</x:v>
      </x:c>
      <x:c r="C7" s="1"/>
      <x:c r="D7" s="1"/>
      <x:c r="E7" s="1"/>
      <x:c r="F7" s="1"/>
      <x:c r="G7" s="1"/>
      <x:c r="H7" s="1"/>
      <x:c r="I7" s="1"/>
      <x:c r="J7" s="1"/>
    </x:row>
    <x:row r="8" ht="24" customHeight="1">
      <x:c r="A8" s="1" t="str">
        <x:v>P25</x:v>
      </x:c>
      <x:c r="B8" s="7" t="n">
        <x:v>7</x:v>
      </x:c>
      <x:c r="C8" s="1"/>
      <x:c r="D8" s="1"/>
      <x:c r="E8" s="1"/>
      <x:c r="F8" s="1"/>
      <x:c r="G8" s="1"/>
      <x:c r="H8" s="1"/>
      <x:c r="I8" s="1"/>
      <x:c r="J8" s="1"/>
    </x:row>
    <x:row r="9" ht="24" customHeight="1">
      <x:c r="A9" s="1" t="str">
        <x:v>P75</x:v>
      </x:c>
      <x:c r="B9" s="7" t="n">
        <x:v>16</x:v>
      </x:c>
      <x:c r="C9" s="1"/>
      <x:c r="D9" s="1"/>
      <x:c r="E9" s="1"/>
      <x:c r="F9" s="1"/>
      <x:c r="G9" s="1"/>
      <x:c r="H9" s="1"/>
      <x:c r="I9" s="1"/>
      <x:c r="J9" s="1"/>
    </x:row>
    <x:row r="10" ht="24" customHeight="1">
      <x:c r="A10" s="1" t="str">
        <x:v>P90</x:v>
      </x:c>
      <x:c r="B10" s="7" t="n">
        <x:v>23</x:v>
      </x:c>
      <x:c r="C10" s="1"/>
      <x:c r="D10" s="1"/>
      <x:c r="E10" s="1"/>
      <x:c r="F10" s="1"/>
      <x:c r="G10" s="1"/>
      <x:c r="H10" s="1"/>
      <x:c r="I10" s="1"/>
      <x:c r="J10" s="1"/>
    </x:row>
    <x:row r="11" ht="24" customHeight="1">
      <x:c r="A11" s="1" t="str">
        <x:v>P95</x:v>
      </x:c>
      <x:c r="B11" s="7" t="n">
        <x:v>29</x:v>
      </x:c>
      <x:c r="C11" s="1"/>
      <x:c r="D11" s="1"/>
      <x:c r="E11" s="1"/>
      <x:c r="F11" s="1"/>
      <x:c r="G11" s="1"/>
      <x:c r="H11" s="1"/>
      <x:c r="I11" s="1"/>
      <x:c r="J11" s="1"/>
    </x:row>
    <x:row r="12" ht="24" customHeight="1">
      <x:c r="A12" s="1" t="str">
        <x:v>Максимум</x:v>
      </x:c>
      <x:c r="B12" s="7" t="n">
        <x:v>210</x:v>
      </x:c>
      <x:c r="C12" s="1"/>
      <x:c r="D12" s="1"/>
      <x:c r="E12" s="1"/>
      <x:c r="F12" s="1"/>
      <x:c r="G12" s="1"/>
      <x:c r="H12" s="1"/>
      <x:c r="I12" s="1"/>
      <x:c r="J12" s="1"/>
    </x:row>
    <x:row r="13" ht="24" customHeight="1">
      <x:c r="A13" s="1" t="str">
        <x:v>Доставки с известной датой</x:v>
      </x:c>
      <x:c r="B13" s="6" t="n">
        <x:v>43426</x:v>
      </x:c>
      <x:c r="C13" s="1"/>
      <x:c r="D13" s="1"/>
      <x:c r="E13" s="1"/>
      <x:c r="F13" s="1"/>
      <x:c r="G13" s="1"/>
      <x:c r="H13" s="1"/>
      <x:c r="I13" s="1"/>
      <x:c r="J13" s="1"/>
    </x:row>
    <x:row r="14" ht="24" customHeight="1">
      <x:c r="A14" s="1" t="str">
        <x:v>Без даты получения</x:v>
      </x:c>
      <x:c r="B14" s="6" t="n">
        <x:v>1675</x:v>
      </x:c>
      <x:c r="C14" s="1"/>
      <x:c r="D14" s="1"/>
      <x:c r="E14" s="1"/>
      <x:c r="F14" s="1"/>
      <x:c r="G14" s="1"/>
      <x:c r="H14" s="1"/>
      <x:c r="I14" s="1"/>
      <x:c r="J14" s="1"/>
    </x:row>
    <x:row r="15" ht="24" customHeight="1">
      <x:c r="A15" s="1" t="str">
        <x:v>Доля без даты получения</x:v>
      </x:c>
      <x:c r="B15" s="9" t="n">
        <x:f>B14/SUM(B13:B14)</x:f>
        <x:v>0.037138866100529924</x:v>
      </x:c>
      <x:c r="C15" s="1"/>
      <x:c r="D15" s="1"/>
      <x:c r="E15" s="1"/>
      <x:c r="F15" s="1"/>
      <x:c r="G15" s="1"/>
      <x:c r="H15" s="1"/>
      <x:c r="I15" s="1"/>
      <x:c r="J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 ht="30" customHeight="1">
      <x:c r="A18" s="5" t="str">
        <x:v>Срок, дней</x:v>
      </x:c>
      <x:c r="B18" s="5" t="str">
        <x:v>Заказов</x:v>
      </x:c>
      <x:c r="C18" s="5" t="str">
        <x:v>Доля доставок</x:v>
      </x:c>
      <x:c r="D18" s="1"/>
      <x:c r="E18" s="1"/>
      <x:c r="F18" s="1"/>
      <x:c r="G18" s="1"/>
      <x:c r="H18" s="1"/>
      <x:c r="I18" s="1"/>
      <x:c r="J18" s="1"/>
    </x:row>
    <x:row r="19" ht="24" customHeight="1">
      <x:c r="A19" s="1" t="str">
        <x:v>0–7</x:v>
      </x:c>
      <x:c r="B19" s="6" t="n">
        <x:v>11316</x:v>
      </x:c>
      <x:c r="C19" s="11" t="n">
        <x:f>B19/$B$13</x:f>
        <x:v>0.260581218624787</x:v>
      </x:c>
      <x:c r="D19" s="1"/>
      <x:c r="E19" s="1"/>
      <x:c r="F19" s="1"/>
      <x:c r="G19" s="1"/>
      <x:c r="H19" s="1"/>
      <x:c r="I19" s="1"/>
      <x:c r="J19" s="1"/>
    </x:row>
    <x:row r="20" ht="24" customHeight="1">
      <x:c r="A20" s="1" t="str">
        <x:v>8–14</x:v>
      </x:c>
      <x:c r="B20" s="6" t="n">
        <x:v>18897</x:v>
      </x:c>
      <x:c r="C20" s="11" t="n">
        <x:f>B20/$B$13</x:f>
        <x:v>0.43515405517431954</x:v>
      </x:c>
      <x:c r="D20" s="1"/>
      <x:c r="E20" s="1"/>
      <x:c r="F20" s="1"/>
      <x:c r="G20" s="1"/>
      <x:c r="H20" s="1"/>
      <x:c r="I20" s="1"/>
      <x:c r="J20" s="1"/>
    </x:row>
    <x:row r="21" ht="24" customHeight="1">
      <x:c r="A21" s="1" t="str">
        <x:v>15–21</x:v>
      </x:c>
      <x:c r="B21" s="6" t="n">
        <x:v>8093</x:v>
      </x:c>
      <x:c r="C21" s="11" t="n">
        <x:f>B21/$B$13</x:f>
        <x:v>0.1863630083360199</x:v>
      </x:c>
      <x:c r="D21" s="1"/>
      <x:c r="E21" s="1"/>
      <x:c r="F21" s="1"/>
      <x:c r="G21" s="1"/>
      <x:c r="H21" s="1"/>
      <x:c r="I21" s="1"/>
      <x:c r="J21" s="1"/>
    </x:row>
    <x:row r="22" ht="24" customHeight="1">
      <x:c r="A22" s="1" t="str">
        <x:v>22–30</x:v>
      </x:c>
      <x:c r="B22" s="6" t="n">
        <x:v>3336</x:v>
      </x:c>
      <x:c r="C22" s="11" t="n">
        <x:f>B22/$B$13</x:f>
        <x:v>0.07682033804633169</x:v>
      </x:c>
      <x:c r="D22" s="1"/>
      <x:c r="E22" s="1"/>
      <x:c r="F22" s="1"/>
      <x:c r="G22" s="1"/>
      <x:c r="H22" s="1"/>
      <x:c r="I22" s="1"/>
      <x:c r="J22" s="1"/>
    </x:row>
    <x:row r="23" ht="24" customHeight="1">
      <x:c r="A23" s="1" t="str">
        <x:v>31–60</x:v>
      </x:c>
      <x:c r="B23" s="6" t="n">
        <x:v>1647</x:v>
      </x:c>
      <x:c r="C23" s="11" t="n">
        <x:f>B23/$B$13</x:f>
        <x:v>0.0379265877584857</x:v>
      </x:c>
      <x:c r="D23" s="1"/>
      <x:c r="E23" s="1"/>
      <x:c r="F23" s="1"/>
      <x:c r="G23" s="1"/>
      <x:c r="H23" s="1"/>
      <x:c r="I23" s="1"/>
      <x:c r="J23" s="1"/>
    </x:row>
    <x:row r="24" ht="24" customHeight="1">
      <x:c r="A24" s="1" t="str">
        <x:v>61–90</x:v>
      </x:c>
      <x:c r="B24" s="6" t="n">
        <x:v>82</x:v>
      </x:c>
      <x:c r="C24" s="11" t="n">
        <x:f>B24/$B$13</x:f>
        <x:v>0.0018882697001796158</x:v>
      </x:c>
      <x:c r="D24" s="1"/>
      <x:c r="E24" s="1"/>
      <x:c r="F24" s="1"/>
      <x:c r="G24" s="1"/>
      <x:c r="H24" s="1"/>
      <x:c r="I24" s="1"/>
      <x:c r="J24" s="1"/>
    </x:row>
    <x:row r="25" ht="24" customHeight="1">
      <x:c r="A25" s="1" t="str">
        <x:v>91+</x:v>
      </x:c>
      <x:c r="B25" s="6" t="n">
        <x:v>55</x:v>
      </x:c>
      <x:c r="C25" s="11" t="n">
        <x:f>B25/$B$13</x:f>
        <x:v>0.0012665223598765716</x:v>
      </x:c>
      <x:c r="D25" s="1"/>
      <x:c r="E25" s="1"/>
      <x:c r="F25" s="1"/>
      <x:c r="G25" s="1"/>
      <x:c r="H25" s="1"/>
      <x:c r="I25" s="1"/>
      <x:c r="J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 ht="24" customHeight="1">
      <x:c r="A27" s="1" t="str">
        <x:v>Больше 30 дней</x:v>
      </x:c>
      <x:c r="B27" s="1" t="n">
        <x:v>1784</x:v>
      </x:c>
      <x:c r="C27" s="1"/>
      <x:c r="D27" s="1"/>
      <x:c r="E27" s="1"/>
      <x:c r="F27" s="1"/>
      <x:c r="G27" s="1"/>
      <x:c r="H27" s="1"/>
      <x:c r="I27" s="1"/>
      <x:c r="J27" s="1"/>
    </x:row>
    <x:row r="28" ht="24" customHeight="1">
      <x:c r="A28" s="1" t="str">
        <x:v>Доля больше 30 дней</x:v>
      </x:c>
      <x:c r="B28" s="9" t="n">
        <x:f>B27/B13</x:f>
        <x:v>0.04108137981854189</x:v>
      </x:c>
      <x:c r="C28" s="1"/>
      <x:c r="D28" s="1"/>
      <x:c r="E28" s="1"/>
      <x:c r="F28" s="1"/>
      <x:c r="G28" s="1"/>
      <x:c r="H28" s="1"/>
      <x:c r="I28" s="1"/>
      <x:c r="J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 ht="24" customHeight="1">
      <x:c r="A30" s="1" t="str">
        <x:v>Источник: orders, даты покупки и получения; outputs/05_delivery_distribution.csv.</x:v>
      </x:c>
      <x:c r="B30" s="1"/>
      <x:c r="C30" s="1"/>
      <x:c r="D30" s="1"/>
      <x:c r="E30" s="1"/>
      <x:c r="F30" s="1"/>
      <x:c r="G30" s="1"/>
      <x:c r="H30" s="1"/>
      <x:c r="I30" s="1"/>
      <x:c r="J30" s="1"/>
    </x:row>
    <x:row r="31" ht="24" customHeight="1">
      <x:c r="A31" s="1" t="str">
        <x:v>Пропуски исключены из длительности и показаны отдельно. Покупки 2017; доставки могут быть в 2018.</x:v>
      </x:c>
      <x:c r="B31" s="1"/>
      <x:c r="C31" s="1"/>
      <x:c r="D31" s="1"/>
      <x:c r="E31" s="1"/>
      <x:c r="F31" s="1"/>
      <x:c r="G31" s="1"/>
      <x:c r="H31" s="1"/>
      <x:c r="I31" s="1"/>
      <x:c r="J31" s="1"/>
    </x:row>
    <x:row r="32" ht="24" customHeight="1">
      <x:c r="A32" s="1" t="str">
        <x:v>Показаны частоты по диапазонам разной длины; последний диапазон открытый (91+).</x:v>
      </x:c>
      <x:c r="B32" s="1"/>
      <x:c r="C32" s="1"/>
      <x:c r="D32" s="1"/>
      <x:c r="E32" s="1"/>
      <x:c r="F32" s="1"/>
      <x:c r="G32" s="1"/>
      <x:c r="H32" s="1"/>
      <x:c r="I32" s="1"/>
      <x:c r="J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</x:sheetData>
  <x:pageMargins left="0.7" right="0.7" top="0.75" bottom="0.75" header="0.3" footer="0.3"/>
  <x:drawing xmlns:r="http://schemas.openxmlformats.org/officeDocument/2006/relationships" r:id="Ree7c50f73ffa4a30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1" hidden="0" customWidth="1"/>
    <x:col min="2" max="2" width="20" hidden="0" customWidth="1"/>
    <x:col min="3" max="3" width="18" hidden="0" customWidth="1"/>
    <x:col min="4" max="4" width="14" hidden="0" customWidth="1"/>
  </x:cols>
  <x:sheetData>
    <x:row r="1" ht="24" customHeight="1">
      <x:c r="A1" s="1"/>
      <x:c r="B1" s="1"/>
      <x:c r="C1" s="1"/>
      <x:c r="D1" s="1"/>
    </x:row>
    <x:row r="2" ht="24" customHeight="1">
      <x:c r="A2" s="2" t="str">
        <x:v>Популярность категорий · уникальные заказы</x:v>
      </x:c>
      <x:c r="B2" s="1"/>
      <x:c r="C2" s="1"/>
      <x:c r="D2" s="1"/>
    </x:row>
    <x:row r="3" ht="24" customHeight="1">
      <x:c r="A3" s="3"/>
      <x:c r="B3" s="3"/>
      <x:c r="C3" s="3"/>
      <x:c r="D3" s="3"/>
    </x:row>
    <x:row r="4" ht="24" customHeight="1">
      <x:c r="A4" s="1" t="str">
        <x:v>Всего заказов</x:v>
      </x:c>
      <x:c r="B4" s="1" t="n">
        <x:v>45101</x:v>
      </x:c>
      <x:c r="C4" s="1"/>
      <x:c r="D4" s="1"/>
    </x:row>
    <x:row r="5" ht="24" customHeight="1">
      <x:c r="A5" s="1"/>
      <x:c r="B5" s="1"/>
      <x:c r="C5" s="1"/>
      <x:c r="D5" s="1"/>
    </x:row>
    <x:row r="6" ht="30" customHeight="1">
      <x:c r="A6" s="5" t="str">
        <x:v>Категория</x:v>
      </x:c>
      <x:c r="B6" s="5" t="str">
        <x:v>Заказов</x:v>
      </x:c>
      <x:c r="C6" s="5" t="str">
        <x:v>Доля всех заказов</x:v>
      </x:c>
      <x:c r="D6" s="5" t="str">
        <x:v>Ранг</x:v>
      </x:c>
    </x:row>
    <x:row r="7" ht="24" customHeight="1">
      <x:c r="A7" s="1" t="str">
        <x:v>bed_bath_table</x:v>
      </x:c>
      <x:c r="B7" s="6" t="n">
        <x:v>4503</x:v>
      </x:c>
      <x:c r="C7" s="9" t="n">
        <x:f>B7/$B$4</x:f>
        <x:v>0.0998425755526485</x:v>
      </x:c>
      <x:c r="D7" s="1" t="n">
        <x:v>1</x:v>
      </x:c>
    </x:row>
    <x:row r="8" ht="24" customHeight="1">
      <x:c r="A8" s="1" t="str">
        <x:v>sports_leisure</x:v>
      </x:c>
      <x:c r="B8" s="6" t="n">
        <x:v>3643</x:v>
      </x:c>
      <x:c r="C8" s="9" t="n">
        <x:f>B8/$B$4</x:f>
        <x:v>0.0807742622114809</x:v>
      </x:c>
      <x:c r="D8" s="1" t="n">
        <x:v>2</x:v>
      </x:c>
    </x:row>
    <x:row r="9" ht="24" customHeight="1">
      <x:c r="A9" s="1" t="str">
        <x:v>health_beauty</x:v>
      </x:c>
      <x:c r="B9" s="6" t="n">
        <x:v>3389</x:v>
      </x:c>
      <x:c r="C9" s="9" t="n">
        <x:f>B9/$B$4</x:f>
        <x:v>0.07514245803862442</x:v>
      </x:c>
      <x:c r="D9" s="1" t="n">
        <x:v>3</x:v>
      </x:c>
    </x:row>
    <x:row r="10" ht="24" customHeight="1">
      <x:c r="A10" s="1" t="str">
        <x:v>furniture_decor</x:v>
      </x:c>
      <x:c r="B10" s="6" t="n">
        <x:v>3198</x:v>
      </x:c>
      <x:c r="C10" s="9" t="n">
        <x:f>B10/$B$4</x:f>
        <x:v>0.07090751868029534</x:v>
      </x:c>
      <x:c r="D10" s="1" t="n">
        <x:v>4</x:v>
      </x:c>
    </x:row>
    <x:row r="11" ht="24" customHeight="1">
      <x:c r="A11" s="1" t="str">
        <x:v>computers_accessories</x:v>
      </x:c>
      <x:c r="B11" s="6" t="n">
        <x:v>2618</x:v>
      </x:c>
      <x:c r="C11" s="9" t="n">
        <x:f>B11/$B$4</x:f>
        <x:v>0.05804749340369393</x:v>
      </x:c>
      <x:c r="D11" s="1" t="n">
        <x:v>5</x:v>
      </x:c>
    </x:row>
    <x:row r="12" ht="24" customHeight="1">
      <x:c r="A12" s="1" t="str">
        <x:v>housewares</x:v>
      </x:c>
      <x:c r="B12" s="6" t="n">
        <x:v>2454</x:v>
      </x:c>
      <x:c r="C12" s="9" t="n">
        <x:f>B12/$B$4</x:f>
        <x:v>0.05441121039444802</x:v>
      </x:c>
      <x:c r="D12" s="1" t="n">
        <x:v>6</x:v>
      </x:c>
    </x:row>
    <x:row r="13" ht="24" customHeight="1">
      <x:c r="A13" s="12" t="str">
        <x:v>toys</x:v>
      </x:c>
      <x:c r="B13" s="13" t="n">
        <x:v>2452</x:v>
      </x:c>
      <x:c r="C13" s="14" t="n">
        <x:f>B13/$B$4</x:f>
        <x:v>0.05436686547970111</x:v>
      </x:c>
      <x:c r="D13" s="12" t="n">
        <x:v>7</x:v>
      </x:c>
    </x:row>
    <x:row r="14" ht="24" customHeight="1">
      <x:c r="A14" s="1" t="str">
        <x:v>cool_stuff</x:v>
      </x:c>
      <x:c r="B14" s="6" t="n">
        <x:v>2209</x:v>
      </x:c>
      <x:c r="C14" s="9" t="n">
        <x:f>B14/$B$4</x:f>
        <x:v>0.04897895833795259</x:v>
      </x:c>
      <x:c r="D14" s="1" t="n">
        <x:v>8</x:v>
      </x:c>
    </x:row>
    <x:row r="15" ht="24" customHeight="1">
      <x:c r="A15" s="1" t="str">
        <x:v>watches_gifts</x:v>
      </x:c>
      <x:c r="B15" s="6" t="n">
        <x:v>2126</x:v>
      </x:c>
      <x:c r="C15" s="9" t="n">
        <x:f>B15/$B$4</x:f>
        <x:v>0.04713864437595619</x:v>
      </x:c>
      <x:c r="D15" s="1" t="n">
        <x:v>9</x:v>
      </x:c>
    </x:row>
    <x:row r="16" ht="24" customHeight="1">
      <x:c r="A16" s="1" t="str">
        <x:v>telephony</x:v>
      </x:c>
      <x:c r="B16" s="6" t="n">
        <x:v>2030</x:v>
      </x:c>
      <x:c r="C16" s="9" t="n">
        <x:f>B16/$B$4</x:f>
        <x:v>0.04501008846810492</x:v>
      </x:c>
      <x:c r="D16" s="1" t="n">
        <x:v>10</x:v>
      </x:c>
    </x:row>
    <x:row r="17" ht="24" customHeight="1">
      <x:c r="A17" s="1" t="str">
        <x:v>garden_tools</x:v>
      </x:c>
      <x:c r="B17" s="6" t="n">
        <x:v>1978</x:v>
      </x:c>
      <x:c r="C17" s="9" t="n">
        <x:f>B17/$B$4</x:f>
        <x:v>0.04385712068468548</x:v>
      </x:c>
      <x:c r="D17" s="1" t="n">
        <x:v>11</x:v>
      </x:c>
    </x:row>
    <x:row r="18" ht="24" customHeight="1">
      <x:c r="A18" s="1" t="str">
        <x:v>perfumery</x:v>
      </x:c>
      <x:c r="B18" s="6" t="n">
        <x:v>1645</x:v>
      </x:c>
      <x:c r="C18" s="9" t="n">
        <x:f>B18/$B$4</x:f>
        <x:v>0.0364736923793264</x:v>
      </x:c>
      <x:c r="D18" s="1" t="n">
        <x:v>12</x:v>
      </x:c>
    </x:row>
    <x:row r="19" ht="24" customHeight="1">
      <x:c r="A19" s="1" t="str">
        <x:v>auto</x:v>
      </x:c>
      <x:c r="B19" s="6" t="n">
        <x:v>1429</x:v>
      </x:c>
      <x:c r="C19" s="9" t="n">
        <x:f>B19/$B$4</x:f>
        <x:v>0.03168444158666105</x:v>
      </x:c>
      <x:c r="D19" s="1" t="n">
        <x:v>13</x:v>
      </x:c>
    </x:row>
    <x:row r="20" ht="24" customHeight="1">
      <x:c r="A20" s="1" t="str">
        <x:v>baby</x:v>
      </x:c>
      <x:c r="B20" s="6" t="n">
        <x:v>1207</x:v>
      </x:c>
      <x:c r="C20" s="9" t="n">
        <x:f>B20/$B$4</x:f>
        <x:v>0.026762156049754994</x:v>
      </x:c>
      <x:c r="D20" s="1" t="n">
        <x:v>14</x:v>
      </x:c>
    </x:row>
    <x:row r="21" ht="24" customHeight="1">
      <x:c r="A21" s="1" t="str">
        <x:v>fashion_bags_accessories</x:v>
      </x:c>
      <x:c r="B21" s="6" t="n">
        <x:v>1025</x:v>
      </x:c>
      <x:c r="C21" s="9" t="n">
        <x:f>B21/$B$4</x:f>
        <x:v>0.022726768807786967</x:v>
      </x:c>
      <x:c r="D21" s="1" t="n">
        <x:v>15</x:v>
      </x:c>
    </x:row>
    <x:row r="22" ht="24" customHeight="1">
      <x:c r="A22" s="1" t="str">
        <x:v>stationery</x:v>
      </x:c>
      <x:c r="B22" s="6" t="n">
        <x:v>914</x:v>
      </x:c>
      <x:c r="C22" s="9" t="n">
        <x:f>B22/$B$4</x:f>
        <x:v>0.02026562603933394</x:v>
      </x:c>
      <x:c r="D22" s="1" t="n">
        <x:v>16</x:v>
      </x:c>
    </x:row>
    <x:row r="23" ht="24" customHeight="1">
      <x:c r="A23" s="1" t="str">
        <x:v>electronics</x:v>
      </x:c>
      <x:c r="B23" s="6" t="n">
        <x:v>821</x:v>
      </x:c>
      <x:c r="C23" s="9" t="n">
        <x:f>B23/$B$4</x:f>
        <x:v>0.018203587503603024</x:v>
      </x:c>
      <x:c r="D23" s="1" t="n">
        <x:v>17</x:v>
      </x:c>
    </x:row>
    <x:row r="24" ht="24" customHeight="1">
      <x:c r="A24" s="1" t="str">
        <x:v>pet_shop</x:v>
      </x:c>
      <x:c r="B24" s="6" t="n">
        <x:v>692</x:v>
      </x:c>
      <x:c r="C24" s="9" t="n">
        <x:f>B24/$B$4</x:f>
        <x:v>0.015343340502427884</x:v>
      </x:c>
      <x:c r="D24" s="1" t="n">
        <x:v>18</x:v>
      </x:c>
    </x:row>
    <x:row r="25" ht="24" customHeight="1">
      <x:c r="A25" s="1" t="str">
        <x:v>consoles_games</x:v>
      </x:c>
      <x:c r="B25" s="6" t="n">
        <x:v>665</x:v>
      </x:c>
      <x:c r="C25" s="9" t="n">
        <x:f>B25/$B$4</x:f>
        <x:v>0.014744684153344715</x:v>
      </x:c>
      <x:c r="D25" s="1" t="n">
        <x:v>19</x:v>
      </x:c>
    </x:row>
    <x:row r="26" ht="24" customHeight="1">
      <x:c r="A26" s="1" t="str">
        <x:v>office_furniture</x:v>
      </x:c>
      <x:c r="B26" s="6" t="n">
        <x:v>619</x:v>
      </x:c>
      <x:c r="C26" s="9" t="n">
        <x:f>B26/$B$4</x:f>
        <x:v>0.013724751114165983</x:v>
      </x:c>
      <x:c r="D26" s="1" t="n">
        <x:v>20</x:v>
      </x:c>
    </x:row>
    <x:row r="27" ht="24" customHeight="1">
      <x:c r="A27" s="1" t="str">
        <x:v>luggage_accessories</x:v>
      </x:c>
      <x:c r="B27" s="6" t="n">
        <x:v>564</x:v>
      </x:c>
      <x:c r="C27" s="9" t="n">
        <x:f>B27/$B$4</x:f>
        <x:v>0.012505265958626194</x:v>
      </x:c>
      <x:c r="D27" s="1" t="n">
        <x:v>21</x:v>
      </x:c>
    </x:row>
    <x:row r="28" ht="24" customHeight="1">
      <x:c r="A28" s="1" t="str">
        <x:v>small_appliances</x:v>
      </x:c>
      <x:c r="B28" s="6" t="n">
        <x:v>307</x:v>
      </x:c>
      <x:c r="C28" s="9" t="n">
        <x:f>B28/$B$4</x:f>
        <x:v>0.006806944413649364</x:v>
      </x:c>
      <x:c r="D28" s="1" t="n">
        <x:v>22</x:v>
      </x:c>
    </x:row>
    <x:row r="29" ht="24" customHeight="1">
      <x:c r="A29" s="1" t="str">
        <x:v>musical_instruments</x:v>
      </x:c>
      <x:c r="B29" s="6" t="n">
        <x:v>253</x:v>
      </x:c>
      <x:c r="C29" s="9" t="n">
        <x:f>B29/$B$4</x:f>
        <x:v>0.005609631715483027</x:v>
      </x:c>
      <x:c r="D29" s="1" t="n">
        <x:v>23</x:v>
      </x:c>
    </x:row>
    <x:row r="30" ht="24" customHeight="1">
      <x:c r="A30" s="1" t="str">
        <x:v>home_confort</x:v>
      </x:c>
      <x:c r="B30" s="6" t="n">
        <x:v>249</x:v>
      </x:c>
      <x:c r="C30" s="9" t="n">
        <x:f>B30/$B$4</x:f>
        <x:v>0.005520941885989224</x:v>
      </x:c>
      <x:c r="D30" s="1" t="n">
        <x:v>24</x:v>
      </x:c>
    </x:row>
    <x:row r="31" ht="24" customHeight="1">
      <x:c r="A31" s="1" t="str">
        <x:v>home_appliances</x:v>
      </x:c>
      <x:c r="B31" s="6" t="n">
        <x:v>240</x:v>
      </x:c>
      <x:c r="C31" s="9" t="n">
        <x:f>B31/$B$4</x:f>
        <x:v>0.005321389769628168</x:v>
      </x:c>
      <x:c r="D31" s="1" t="n">
        <x:v>25</x:v>
      </x:c>
    </x:row>
    <x:row r="32" ht="24" customHeight="1">
      <x:c r="A32" s="1" t="str">
        <x:v>books_general_interest</x:v>
      </x:c>
      <x:c r="B32" s="6" t="n">
        <x:v>221</x:v>
      </x:c>
      <x:c r="C32" s="9" t="n">
        <x:f>B32/$B$4</x:f>
        <x:v>0.004900113079532605</x:v>
      </x:c>
      <x:c r="D32" s="1" t="n">
        <x:v>26</x:v>
      </x:c>
    </x:row>
    <x:row r="33" ht="24" customHeight="1">
      <x:c r="A33" s="1" t="str">
        <x:v>furniture_living_room</x:v>
      </x:c>
      <x:c r="B33" s="6" t="n">
        <x:v>209</x:v>
      </x:c>
      <x:c r="C33" s="9" t="n">
        <x:f>B33/$B$4</x:f>
        <x:v>0.004634043591051196</x:v>
      </x:c>
      <x:c r="D33" s="1" t="n">
        <x:v>27</x:v>
      </x:c>
    </x:row>
    <x:row r="34" ht="24" customHeight="1">
      <x:c r="A34" s="1" t="str">
        <x:v>market_place</x:v>
      </x:c>
      <x:c r="B34" s="6" t="n">
        <x:v>178</x:v>
      </x:c>
      <x:c r="C34" s="9" t="n">
        <x:f>B34/$B$4</x:f>
        <x:v>0.003946697412474225</x:v>
      </x:c>
      <x:c r="D34" s="1" t="n">
        <x:v>28</x:v>
      </x:c>
    </x:row>
    <x:row r="35" ht="24" customHeight="1">
      <x:c r="A35" s="1" t="str">
        <x:v>fashion_shoes</x:v>
      </x:c>
      <x:c r="B35" s="6" t="n">
        <x:v>171</x:v>
      </x:c>
      <x:c r="C35" s="9" t="n">
        <x:f>B35/$B$4</x:f>
        <x:v>0.0037914902108600696</x:v>
      </x:c>
      <x:c r="D35" s="1" t="n">
        <x:v>29</x:v>
      </x:c>
    </x:row>
    <x:row r="36" ht="24" customHeight="1">
      <x:c r="A36" s="1" t="str">
        <x:v>audio</x:v>
      </x:c>
      <x:c r="B36" s="6" t="n">
        <x:v>161</x:v>
      </x:c>
      <x:c r="C36" s="9" t="n">
        <x:f>B36/$B$4</x:f>
        <x:v>0.0035697656371255627</x:v>
      </x:c>
      <x:c r="D36" s="1" t="n">
        <x:v>30</x:v>
      </x:c>
    </x:row>
    <x:row r="37" ht="24" customHeight="1">
      <x:c r="A37" s="1" t="str">
        <x:v>fixed_telephony</x:v>
      </x:c>
      <x:c r="B37" s="6" t="n">
        <x:v>125</x:v>
      </x:c>
      <x:c r="C37" s="9" t="n">
        <x:f>B37/$B$4</x:f>
        <x:v>0.0027715571716813376</x:v>
      </x:c>
      <x:c r="D37" s="1" t="n">
        <x:v>31</x:v>
      </x:c>
    </x:row>
    <x:row r="38" ht="24" customHeight="1">
      <x:c r="A38" s="1" t="str">
        <x:v>computers</x:v>
      </x:c>
      <x:c r="B38" s="6" t="n">
        <x:v>123</x:v>
      </x:c>
      <x:c r="C38" s="9" t="n">
        <x:f>B38/$B$4</x:f>
        <x:v>0.002727212256934436</x:v>
      </x:c>
      <x:c r="D38" s="1" t="n">
        <x:v>32</x:v>
      </x:c>
    </x:row>
    <x:row r="39" ht="24" customHeight="1">
      <x:c r="A39" s="1" t="str">
        <x:v>air_conditioning</x:v>
      </x:c>
      <x:c r="B39" s="6" t="n">
        <x:v>114</x:v>
      </x:c>
      <x:c r="C39" s="9" t="n">
        <x:f>B39/$B$4</x:f>
        <x:v>0.00252766014057338</x:v>
      </x:c>
      <x:c r="D39" s="1" t="n">
        <x:v>33</x:v>
      </x:c>
    </x:row>
    <x:row r="40" ht="24" customHeight="1">
      <x:c r="A40" s="1" t="str">
        <x:v>home_construction</x:v>
      </x:c>
      <x:c r="B40" s="6" t="n">
        <x:v>111</x:v>
      </x:c>
      <x:c r="C40" s="9" t="n">
        <x:f>B40/$B$4</x:f>
        <x:v>0.0024611427684530277</x:v>
      </x:c>
      <x:c r="D40" s="1" t="n">
        <x:v>34</x:v>
      </x:c>
    </x:row>
    <x:row r="41" ht="24" customHeight="1">
      <x:c r="A41" s="1" t="str">
        <x:v>food</x:v>
      </x:c>
      <x:c r="B41" s="6" t="n">
        <x:v>108</x:v>
      </x:c>
      <x:c r="C41" s="9" t="n">
        <x:f>B41/$B$4</x:f>
        <x:v>0.0023946253963326755</x:v>
      </x:c>
      <x:c r="D41" s="1" t="n">
        <x:v>35</x:v>
      </x:c>
    </x:row>
    <x:row r="42" ht="24" customHeight="1">
      <x:c r="A42" s="1" t="str">
        <x:v>food_drink</x:v>
      </x:c>
      <x:c r="B42" s="6" t="n">
        <x:v>108</x:v>
      </x:c>
      <x:c r="C42" s="9" t="n">
        <x:f>B42/$B$4</x:f>
        <x:v>0.0023946253963326755</x:v>
      </x:c>
      <x:c r="D42" s="1" t="n">
        <x:v>35</x:v>
      </x:c>
    </x:row>
    <x:row r="43" ht="24" customHeight="1">
      <x:c r="A43" s="1" t="str">
        <x:v>kitchen_dining_laundry_garden_furniture</x:v>
      </x:c>
      <x:c r="B43" s="6" t="n">
        <x:v>106</x:v>
      </x:c>
      <x:c r="C43" s="9" t="n">
        <x:f>B43/$B$4</x:f>
        <x:v>0.002350280481585774</x:v>
      </x:c>
      <x:c r="D43" s="1" t="n">
        <x:v>36</x:v>
      </x:c>
    </x:row>
    <x:row r="44" ht="24" customHeight="1">
      <x:c r="A44" s="1" t="str">
        <x:v>construction_tools_construction</x:v>
      </x:c>
      <x:c r="B44" s="6" t="n">
        <x:v>105</x:v>
      </x:c>
      <x:c r="C44" s="9" t="n">
        <x:f>B44/$B$4</x:f>
        <x:v>0.0023281080242123233</x:v>
      </x:c>
      <x:c r="D44" s="1" t="n">
        <x:v>37</x:v>
      </x:c>
    </x:row>
    <x:row r="45" ht="24" customHeight="1">
      <x:c r="A45" s="1" t="str">
        <x:v>home_appliances_2</x:v>
      </x:c>
      <x:c r="B45" s="6" t="n">
        <x:v>88</x:v>
      </x:c>
      <x:c r="C45" s="9" t="n">
        <x:f>B45/$B$4</x:f>
        <x:v>0.0019511762488636617</x:v>
      </x:c>
      <x:c r="D45" s="1" t="n">
        <x:v>38</x:v>
      </x:c>
    </x:row>
    <x:row r="46" ht="24" customHeight="1">
      <x:c r="A46" s="1" t="str">
        <x:v>fashion_male_clothing</x:v>
      </x:c>
      <x:c r="B46" s="6" t="n">
        <x:v>87</x:v>
      </x:c>
      <x:c r="C46" s="9" t="n">
        <x:f>B46/$B$4</x:f>
        <x:v>0.001929003791490211</x:v>
      </x:c>
      <x:c r="D46" s="1" t="n">
        <x:v>39</x:v>
      </x:c>
    </x:row>
    <x:row r="47" ht="24" customHeight="1">
      <x:c r="A47" s="1" t="str">
        <x:v>fashion_underwear_beach</x:v>
      </x:c>
      <x:c r="B47" s="6" t="n">
        <x:v>83</x:v>
      </x:c>
      <x:c r="C47" s="9" t="n">
        <x:f>B47/$B$4</x:f>
        <x:v>0.001840313961996408</x:v>
      </x:c>
      <x:c r="D47" s="1" t="n">
        <x:v>40</x:v>
      </x:c>
    </x:row>
    <x:row r="48" ht="24" customHeight="1">
      <x:c r="A48" s="1" t="str">
        <x:v>drinks</x:v>
      </x:c>
      <x:c r="B48" s="6" t="n">
        <x:v>75</x:v>
      </x:c>
      <x:c r="C48" s="9" t="n">
        <x:f>B48/$B$4</x:f>
        <x:v>0.0016629343030088025</x:v>
      </x:c>
      <x:c r="D48" s="1" t="n">
        <x:v>41</x:v>
      </x:c>
    </x:row>
    <x:row r="49" ht="24" customHeight="1">
      <x:c r="A49" s="1" t="str">
        <x:v>costruction_tools_garden</x:v>
      </x:c>
      <x:c r="B49" s="6" t="n">
        <x:v>64</x:v>
      </x:c>
      <x:c r="C49" s="9" t="n">
        <x:f>B49/$B$4</x:f>
        <x:v>0.0014190372719008447</x:v>
      </x:c>
      <x:c r="D49" s="1" t="n">
        <x:v>42</x:v>
      </x:c>
    </x:row>
    <x:row r="50" ht="24" customHeight="1">
      <x:c r="A50" s="1" t="str">
        <x:v>tablets_printing_image</x:v>
      </x:c>
      <x:c r="B50" s="6" t="n">
        <x:v>59</x:v>
      </x:c>
      <x:c r="C50" s="9" t="n">
        <x:f>B50/$B$4</x:f>
        <x:v>0.0013081749850335912</x:v>
      </x:c>
      <x:c r="D50" s="1" t="n">
        <x:v>43</x:v>
      </x:c>
    </x:row>
    <x:row r="51" ht="24" customHeight="1">
      <x:c r="A51" s="1" t="str">
        <x:v>christmas_supplies</x:v>
      </x:c>
      <x:c r="B51" s="6" t="n">
        <x:v>50</x:v>
      </x:c>
      <x:c r="C51" s="9" t="n">
        <x:f>B51/$B$4</x:f>
        <x:v>0.001108622868672535</x:v>
      </x:c>
      <x:c r="D51" s="1" t="n">
        <x:v>44</x:v>
      </x:c>
    </x:row>
    <x:row r="52" ht="24" customHeight="1">
      <x:c r="A52" s="1" t="str">
        <x:v>agro_industry_and_commerce</x:v>
      </x:c>
      <x:c r="B52" s="6" t="n">
        <x:v>48</x:v>
      </x:c>
      <x:c r="C52" s="9" t="n">
        <x:f>B52/$B$4</x:f>
        <x:v>0.0010642779539256336</x:v>
      </x:c>
      <x:c r="D52" s="1" t="n">
        <x:v>45</x:v>
      </x:c>
    </x:row>
    <x:row r="53" ht="24" customHeight="1">
      <x:c r="A53" s="1" t="str">
        <x:v>books_technical</x:v>
      </x:c>
      <x:c r="B53" s="6" t="n">
        <x:v>43</x:v>
      </x:c>
      <x:c r="C53" s="9" t="n">
        <x:f>B53/$B$4</x:f>
        <x:v>0.0009534156670583801</x:v>
      </x:c>
      <x:c r="D53" s="1" t="n">
        <x:v>46</x:v>
      </x:c>
    </x:row>
    <x:row r="54" ht="24" customHeight="1">
      <x:c r="A54" s="1" t="str">
        <x:v>furniture_bedroom</x:v>
      </x:c>
      <x:c r="B54" s="6" t="n">
        <x:v>40</x:v>
      </x:c>
      <x:c r="C54" s="9" t="n">
        <x:f>B54/$B$4</x:f>
        <x:v>0.000886898294938028</x:v>
      </x:c>
      <x:c r="D54" s="1" t="n">
        <x:v>47</x:v>
      </x:c>
    </x:row>
    <x:row r="55" ht="24" customHeight="1">
      <x:c r="A55" s="1" t="str">
        <x:v>construction_tools_safety</x:v>
      </x:c>
      <x:c r="B55" s="6" t="n">
        <x:v>37</x:v>
      </x:c>
      <x:c r="C55" s="9" t="n">
        <x:f>B55/$B$4</x:f>
        <x:v>0.0008203809228176759</x:v>
      </x:c>
      <x:c r="D55" s="1" t="n">
        <x:v>48</x:v>
      </x:c>
    </x:row>
    <x:row r="56" ht="24" customHeight="1">
      <x:c r="A56" s="1" t="str">
        <x:v>dvds_blu_ray</x:v>
      </x:c>
      <x:c r="B56" s="6" t="n">
        <x:v>37</x:v>
      </x:c>
      <x:c r="C56" s="9" t="n">
        <x:f>B56/$B$4</x:f>
        <x:v>0.0008203809228176759</x:v>
      </x:c>
      <x:c r="D56" s="1" t="n">
        <x:v>48</x:v>
      </x:c>
    </x:row>
    <x:row r="57" ht="24" customHeight="1">
      <x:c r="A57" s="1" t="str">
        <x:v>art</x:v>
      </x:c>
      <x:c r="B57" s="6" t="n">
        <x:v>36</x:v>
      </x:c>
      <x:c r="C57" s="9" t="n">
        <x:f>B57/$B$4</x:f>
        <x:v>0.0007982084654442252</x:v>
      </x:c>
      <x:c r="D57" s="1" t="n">
        <x:v>49</x:v>
      </x:c>
    </x:row>
    <x:row r="58" ht="24" customHeight="1">
      <x:c r="A58" s="1" t="str">
        <x:v>industry_commerce_and_business</x:v>
      </x:c>
      <x:c r="B58" s="6" t="n">
        <x:v>35</x:v>
      </x:c>
      <x:c r="C58" s="9" t="n">
        <x:f>B58/$B$4</x:f>
        <x:v>0.0007760360080707744</x:v>
      </x:c>
      <x:c r="D58" s="1" t="n">
        <x:v>50</x:v>
      </x:c>
    </x:row>
    <x:row r="59" ht="24" customHeight="1">
      <x:c r="A59" s="1" t="str">
        <x:v>signaling_and_security</x:v>
      </x:c>
      <x:c r="B59" s="6" t="n">
        <x:v>35</x:v>
      </x:c>
      <x:c r="C59" s="9" t="n">
        <x:f>B59/$B$4</x:f>
        <x:v>0.0007760360080707744</x:v>
      </x:c>
      <x:c r="D59" s="1" t="n">
        <x:v>50</x:v>
      </x:c>
    </x:row>
    <x:row r="60" ht="24" customHeight="1">
      <x:c r="A60" s="1" t="str">
        <x:v>fashio_female_clothing</x:v>
      </x:c>
      <x:c r="B60" s="6" t="n">
        <x:v>30</x:v>
      </x:c>
      <x:c r="C60" s="9" t="n">
        <x:f>B60/$B$4</x:f>
        <x:v>0.000665173721203521</x:v>
      </x:c>
      <x:c r="D60" s="1" t="n">
        <x:v>51</x:v>
      </x:c>
    </x:row>
    <x:row r="61" ht="24" customHeight="1">
      <x:c r="A61" s="1" t="str">
        <x:v>fashion_sport</x:v>
      </x:c>
      <x:c r="B61" s="6" t="n">
        <x:v>22</x:v>
      </x:c>
      <x:c r="C61" s="9" t="n">
        <x:f>B61/$B$4</x:f>
        <x:v>0.0004877940622159154</x:v>
      </x:c>
      <x:c r="D61" s="1" t="n">
        <x:v>52</x:v>
      </x:c>
    </x:row>
    <x:row r="62" ht="24" customHeight="1">
      <x:c r="A62" s="1" t="str">
        <x:v>costruction_tools_tools</x:v>
      </x:c>
      <x:c r="B62" s="6" t="n">
        <x:v>21</x:v>
      </x:c>
      <x:c r="C62" s="9" t="n">
        <x:f>B62/$B$4</x:f>
        <x:v>0.0004656216048424647</x:v>
      </x:c>
      <x:c r="D62" s="1" t="n">
        <x:v>53</x:v>
      </x:c>
    </x:row>
    <x:row r="63" ht="24" customHeight="1">
      <x:c r="A63" s="1" t="str">
        <x:v>furniture_mattress_and_upholstery</x:v>
      </x:c>
      <x:c r="B63" s="6" t="n">
        <x:v>18</x:v>
      </x:c>
      <x:c r="C63" s="9" t="n">
        <x:f>B63/$B$4</x:f>
        <x:v>0.0003991042327221126</x:v>
      </x:c>
      <x:c r="D63" s="1" t="n">
        <x:v>54</x:v>
      </x:c>
    </x:row>
    <x:row r="64" ht="24" customHeight="1">
      <x:c r="A64" s="1" t="str">
        <x:v>construction_tools_lights</x:v>
      </x:c>
      <x:c r="B64" s="6" t="n">
        <x:v>17</x:v>
      </x:c>
      <x:c r="C64" s="9" t="n">
        <x:f>B64/$B$4</x:f>
        <x:v>0.0003769317753486619</x:v>
      </x:c>
      <x:c r="D64" s="1" t="n">
        <x:v>55</x:v>
      </x:c>
    </x:row>
    <x:row r="65" ht="24" customHeight="1">
      <x:c r="A65" s="1" t="str">
        <x:v>home_comfort_2</x:v>
      </x:c>
      <x:c r="B65" s="6" t="n">
        <x:v>17</x:v>
      </x:c>
      <x:c r="C65" s="9" t="n">
        <x:f>B65/$B$4</x:f>
        <x:v>0.0003769317753486619</x:v>
      </x:c>
      <x:c r="D65" s="1" t="n">
        <x:v>55</x:v>
      </x:c>
    </x:row>
    <x:row r="66" ht="24" customHeight="1">
      <x:c r="A66" s="1" t="str">
        <x:v>books_imported</x:v>
      </x:c>
      <x:c r="B66" s="6" t="n">
        <x:v>13</x:v>
      </x:c>
      <x:c r="C66" s="9" t="n">
        <x:f>B66/$B$4</x:f>
        <x:v>0.00028824194585485907</x:v>
      </x:c>
      <x:c r="D66" s="1" t="n">
        <x:v>56</x:v>
      </x:c>
    </x:row>
    <x:row r="67" ht="24" customHeight="1">
      <x:c r="A67" s="1" t="str">
        <x:v>cds_dvds_musicals</x:v>
      </x:c>
      <x:c r="B67" s="6" t="n">
        <x:v>11</x:v>
      </x:c>
      <x:c r="C67" s="9" t="n">
        <x:f>B67/$B$4</x:f>
        <x:v>0.0002438970311079577</x:v>
      </x:c>
      <x:c r="D67" s="1" t="n">
        <x:v>57</x:v>
      </x:c>
    </x:row>
    <x:row r="68" ht="24" customHeight="1">
      <x:c r="A68" s="1" t="str">
        <x:v>music</x:v>
      </x:c>
      <x:c r="B68" s="6" t="n">
        <x:v>11</x:v>
      </x:c>
      <x:c r="C68" s="9" t="n">
        <x:f>B68/$B$4</x:f>
        <x:v>0.0002438970311079577</x:v>
      </x:c>
      <x:c r="D68" s="1" t="n">
        <x:v>57</x:v>
      </x:c>
    </x:row>
    <x:row r="69" ht="24" customHeight="1">
      <x:c r="A69" s="1" t="str">
        <x:v>la_cuisine</x:v>
      </x:c>
      <x:c r="B69" s="6" t="n">
        <x:v>10</x:v>
      </x:c>
      <x:c r="C69" s="9" t="n">
        <x:f>B69/$B$4</x:f>
        <x:v>0.000221724573734507</x:v>
      </x:c>
      <x:c r="D69" s="1" t="n">
        <x:v>58</x:v>
      </x:c>
    </x:row>
    <x:row r="70" ht="24" customHeight="1">
      <x:c r="A70" s="1" t="str">
        <x:v>party_supplies</x:v>
      </x:c>
      <x:c r="B70" s="6" t="n">
        <x:v>10</x:v>
      </x:c>
      <x:c r="C70" s="9" t="n">
        <x:f>B70/$B$4</x:f>
        <x:v>0.000221724573734507</x:v>
      </x:c>
      <x:c r="D70" s="1" t="n">
        <x:v>58</x:v>
      </x:c>
    </x:row>
    <x:row r="71" ht="24" customHeight="1">
      <x:c r="A71" s="1" t="str">
        <x:v>cine_photo</x:v>
      </x:c>
      <x:c r="B71" s="6" t="n">
        <x:v>8</x:v>
      </x:c>
      <x:c r="C71" s="9" t="n">
        <x:f>B71/$B$4</x:f>
        <x:v>0.00017737965898760558</x:v>
      </x:c>
      <x:c r="D71" s="1" t="n">
        <x:v>59</x:v>
      </x:c>
    </x:row>
    <x:row r="72" ht="24" customHeight="1">
      <x:c r="A72" s="1" t="str">
        <x:v>flowers</x:v>
      </x:c>
      <x:c r="B72" s="6" t="n">
        <x:v>8</x:v>
      </x:c>
      <x:c r="C72" s="9" t="n">
        <x:f>B72/$B$4</x:f>
        <x:v>0.00017737965898760558</x:v>
      </x:c>
      <x:c r="D72" s="1" t="n">
        <x:v>59</x:v>
      </x:c>
    </x:row>
    <x:row r="73" ht="24" customHeight="1">
      <x:c r="A73" s="1" t="str">
        <x:v>fashion_childrens_clothes</x:v>
      </x:c>
      <x:c r="B73" s="6" t="n">
        <x:v>5</x:v>
      </x:c>
      <x:c r="C73" s="9" t="n">
        <x:f>B73/$B$4</x:f>
        <x:v>0.0001108622868672535</x:v>
      </x:c>
      <x:c r="D73" s="1" t="n">
        <x:v>60</x:v>
      </x:c>
    </x:row>
    <x:row r="74" ht="24" customHeight="1">
      <x:c r="A74" s="1" t="str">
        <x:v>small_appliances_home_oven_and_coffee</x:v>
      </x:c>
      <x:c r="B74" s="6" t="n">
        <x:v>4</x:v>
      </x:c>
      <x:c r="C74" s="9" t="n">
        <x:f>B74/$B$4</x:f>
        <x:v>0.00008868982949380279</x:v>
      </x:c>
      <x:c r="D74" s="1" t="n">
        <x:v>61</x:v>
      </x:c>
    </x:row>
    <x:row r="75" ht="24" customHeight="1">
      <x:c r="A75" s="1" t="str">
        <x:v>arts_and_craftmanship</x:v>
      </x:c>
      <x:c r="B75" s="6" t="n">
        <x:v>2</x:v>
      </x:c>
      <x:c r="C75" s="9" t="n">
        <x:f>B75/$B$4</x:f>
        <x:v>0.000044344914746901396</x:v>
      </x:c>
      <x:c r="D75" s="1" t="n">
        <x:v>62</x:v>
      </x:c>
    </x:row>
    <x:row r="76" ht="24" customHeight="1">
      <x:c r="A76" s="1" t="str">
        <x:v>security_and_services</x:v>
      </x:c>
      <x:c r="B76" s="6" t="n">
        <x:v>2</x:v>
      </x:c>
      <x:c r="C76" s="9" t="n">
        <x:f>B76/$B$4</x:f>
        <x:v>0.000044344914746901396</x:v>
      </x:c>
      <x:c r="D76" s="1" t="n">
        <x:v>62</x:v>
      </x:c>
    </x:row>
    <x:row r="77" ht="24" customHeight="1">
      <x:c r="A77" s="1" t="str">
        <x:v>diapers_and_hygiene</x:v>
      </x:c>
      <x:c r="B77" s="6" t="n">
        <x:v>1</x:v>
      </x:c>
      <x:c r="C77" s="9" t="n">
        <x:f>B77/$B$4</x:f>
        <x:v>0.000022172457373450698</x:v>
      </x:c>
      <x:c r="D77" s="1" t="n">
        <x:v>63</x:v>
      </x:c>
    </x:row>
    <x:row r="78" ht="24" customHeight="1">
      <x:c r="A78" s="1"/>
      <x:c r="B78" s="1"/>
      <x:c r="C78" s="1"/>
      <x:c r="D78" s="1"/>
    </x:row>
    <x:row r="79" ht="24" customHeight="1">
      <x:c r="A79" s="1"/>
      <x:c r="B79" s="1"/>
      <x:c r="C79" s="1"/>
      <x:c r="D79" s="1"/>
    </x:row>
    <x:row r="80" ht="24" customHeight="1">
      <x:c r="A80" s="1" t="str">
        <x:v>Источник: order_items + products_category. Неизвестные категории исключены из ранга.</x:v>
      </x:c>
      <x:c r="B80" s="1"/>
      <x:c r="C80" s="1"/>
      <x:c r="D80" s="1"/>
    </x:row>
    <x:row r="81" ht="24" customHeight="1">
      <x:c r="A81" s="1" t="str">
        <x:v>Доли пересекаются: один заказ может содержать несколько категорий.</x:v>
      </x:c>
      <x:c r="B81" s="1"/>
      <x:c r="C81" s="1"/>
      <x:c r="D81" s="1"/>
    </x:row>
    <x:row r="82" ht="24" customHeight="1">
      <x:c r="A82" s="1"/>
      <x:c r="B82" s="1"/>
      <x:c r="C82" s="1"/>
      <x:c r="D82" s="1"/>
    </x:row>
    <x:row r="83" ht="24" customHeight="1">
      <x:c r="A83" s="1"/>
      <x:c r="B83" s="1"/>
      <x:c r="C83" s="1"/>
      <x:c r="D83" s="1"/>
    </x:row>
  </x:sheetData>
  <x:pageMargins left="0.7" right="0.7" top="0.75" bottom="0.75" header="0.3" footer="0.3"/>
</x:worksheet>
</file>